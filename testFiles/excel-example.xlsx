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งบกำไรขาดทุน" sheetId="1" state="visible" r:id="rId1"/>
    <sheet xmlns:r="http://schemas.openxmlformats.org/officeDocument/2006/relationships" name="งบแสดงฐานะการเงิน" sheetId="2" state="visible" r:id="rId2"/>
    <sheet xmlns:r="http://schemas.openxmlformats.org/officeDocument/2006/relationships" name="งบกระแสเงินส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top style="thin">
        <color rgb="00D9D9D9"/>
      </top>
      <bottom style="double">
        <color rgb="00000000"/>
      </bottom>
    </border>
    <border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4" fontId="4" fillId="0" borderId="0" applyAlignment="1" pivotButton="0" quotePrefix="0" xfId="0">
      <alignment horizontal="right"/>
    </xf>
    <xf numFmtId="0" fontId="5" fillId="3" borderId="0" pivotButton="0" quotePrefix="0" xfId="0"/>
    <xf numFmtId="4" fontId="5" fillId="3" borderId="1" applyAlignment="1" pivotButton="0" quotePrefix="0" xfId="0">
      <alignment horizontal="right"/>
    </xf>
    <xf numFmtId="0" fontId="5" fillId="0" borderId="0" pivotButton="0" quotePrefix="0" xfId="0"/>
    <xf numFmtId="4" fontId="5" fillId="0" borderId="0" applyAlignment="1" pivotButton="0" quotePrefix="0" xfId="0">
      <alignment horizontal="right"/>
    </xf>
    <xf numFmtId="4" fontId="5" fillId="4" borderId="0" applyAlignment="1" pivotButton="0" quotePrefix="0" xfId="0">
      <alignment horizontal="right"/>
    </xf>
    <xf numFmtId="4" fontId="5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งบกำไรขาดทุนรวม (Consolidated Income Statement)</t>
        </is>
      </c>
    </row>
    <row r="2">
      <c r="A2" s="2" t="inlineStr">
        <is>
          <t>หน่วย: ล้านบาท (ปีสิ้นสุดวันที่ 31 ธันวาคม)</t>
        </is>
      </c>
    </row>
    <row r="3"/>
    <row r="4" ht="28" customHeight="1">
      <c r="A4" s="3" t="inlineStr">
        <is>
          <t>รายการ</t>
        </is>
      </c>
      <c r="B4" s="4" t="n">
        <v>2012</v>
      </c>
      <c r="C4" s="4" t="n">
        <v>2013</v>
      </c>
      <c r="D4" s="4" t="n">
        <v>2014</v>
      </c>
      <c r="E4" s="4" t="n">
        <v>2015</v>
      </c>
      <c r="F4" s="4" t="n">
        <v>2016</v>
      </c>
      <c r="G4" s="4" t="n">
        <v>2017</v>
      </c>
      <c r="H4" s="4" t="n">
        <v>2018</v>
      </c>
      <c r="I4" s="4" t="n">
        <v>2019</v>
      </c>
      <c r="J4" s="4" t="n">
        <v>2020</v>
      </c>
      <c r="K4" s="4" t="n">
        <v>2021</v>
      </c>
      <c r="L4" s="4" t="n">
        <v>2022</v>
      </c>
    </row>
    <row r="5" ht="20" customHeight="1">
      <c r="A5" s="5" t="inlineStr">
        <is>
          <t>รายได้จากการขายและบริการ</t>
        </is>
      </c>
      <c r="B5" s="6" t="n">
        <v>1000</v>
      </c>
      <c r="C5" s="6" t="n">
        <v>1060</v>
      </c>
      <c r="D5" s="6" t="n">
        <v>1120</v>
      </c>
      <c r="E5" s="6" t="n">
        <v>1180</v>
      </c>
      <c r="F5" s="6" t="n">
        <v>1240</v>
      </c>
      <c r="G5" s="6" t="n">
        <v>1300</v>
      </c>
      <c r="H5" s="6" t="n">
        <v>1360</v>
      </c>
      <c r="I5" s="6" t="n">
        <v>1420</v>
      </c>
      <c r="J5" s="6" t="n">
        <v>1480</v>
      </c>
      <c r="K5" s="6" t="n">
        <v>1540</v>
      </c>
      <c r="L5" s="6" t="n">
        <v>1600</v>
      </c>
    </row>
    <row r="6" ht="20" customHeight="1">
      <c r="A6" s="5" t="inlineStr">
        <is>
          <t>รายได้อื่น</t>
        </is>
      </c>
      <c r="B6" s="6" t="n">
        <v>50</v>
      </c>
      <c r="C6" s="6" t="n">
        <v>53</v>
      </c>
      <c r="D6" s="6" t="n">
        <v>56</v>
      </c>
      <c r="E6" s="6" t="n">
        <v>59</v>
      </c>
      <c r="F6" s="6" t="n">
        <v>62</v>
      </c>
      <c r="G6" s="6" t="n">
        <v>65</v>
      </c>
      <c r="H6" s="6" t="n">
        <v>68</v>
      </c>
      <c r="I6" s="6" t="n">
        <v>71</v>
      </c>
      <c r="J6" s="6" t="n">
        <v>74</v>
      </c>
      <c r="K6" s="6" t="n">
        <v>77</v>
      </c>
      <c r="L6" s="6" t="n">
        <v>80</v>
      </c>
    </row>
    <row r="7" ht="20" customHeight="1">
      <c r="A7" s="7" t="inlineStr">
        <is>
          <t>รวมรายได้</t>
        </is>
      </c>
      <c r="B7" s="8">
        <f>SUM(B5:B6)</f>
        <v/>
      </c>
      <c r="C7" s="8">
        <f>SUM(C5:C6)</f>
        <v/>
      </c>
      <c r="D7" s="8">
        <f>SUM(D5:D6)</f>
        <v/>
      </c>
      <c r="E7" s="8">
        <f>SUM(E5:E6)</f>
        <v/>
      </c>
      <c r="F7" s="8">
        <f>SUM(F5:F6)</f>
        <v/>
      </c>
      <c r="G7" s="8">
        <f>SUM(G5:G6)</f>
        <v/>
      </c>
      <c r="H7" s="8">
        <f>SUM(H5:H6)</f>
        <v/>
      </c>
      <c r="I7" s="8">
        <f>SUM(I5:I6)</f>
        <v/>
      </c>
      <c r="J7" s="8">
        <f>SUM(J5:J6)</f>
        <v/>
      </c>
      <c r="K7" s="8">
        <f>SUM(K5:K6)</f>
        <v/>
      </c>
      <c r="L7" s="8">
        <f>SUM(L5:L6)</f>
        <v/>
      </c>
    </row>
    <row r="8" ht="20" customHeight="1">
      <c r="A8" s="5" t="inlineStr">
        <is>
          <t>ต้นทุนขายและบริการ</t>
        </is>
      </c>
      <c r="B8" s="6" t="n">
        <v>600</v>
      </c>
      <c r="C8" s="6" t="n">
        <v>636</v>
      </c>
      <c r="D8" s="6" t="n">
        <v>672</v>
      </c>
      <c r="E8" s="6" t="n">
        <v>708</v>
      </c>
      <c r="F8" s="6" t="n">
        <v>744</v>
      </c>
      <c r="G8" s="6" t="n">
        <v>780</v>
      </c>
      <c r="H8" s="6" t="n">
        <v>816</v>
      </c>
      <c r="I8" s="6" t="n">
        <v>852</v>
      </c>
      <c r="J8" s="6" t="n">
        <v>888</v>
      </c>
      <c r="K8" s="6" t="n">
        <v>924</v>
      </c>
      <c r="L8" s="6" t="n">
        <v>960</v>
      </c>
    </row>
    <row r="9" ht="20" customHeight="1">
      <c r="A9" s="9" t="inlineStr">
        <is>
          <t>กำไรขั้นต้น</t>
        </is>
      </c>
      <c r="B9" s="10">
        <f>B7-B8</f>
        <v/>
      </c>
      <c r="C9" s="10">
        <f>C7-C8</f>
        <v/>
      </c>
      <c r="D9" s="10">
        <f>D7-D8</f>
        <v/>
      </c>
      <c r="E9" s="10">
        <f>E7-E8</f>
        <v/>
      </c>
      <c r="F9" s="10">
        <f>F7-F8</f>
        <v/>
      </c>
      <c r="G9" s="10">
        <f>G7-G8</f>
        <v/>
      </c>
      <c r="H9" s="10">
        <f>H7-H8</f>
        <v/>
      </c>
      <c r="I9" s="10">
        <f>I7-I8</f>
        <v/>
      </c>
      <c r="J9" s="10">
        <f>J7-J8</f>
        <v/>
      </c>
      <c r="K9" s="10">
        <f>K7-K8</f>
        <v/>
      </c>
      <c r="L9" s="10">
        <f>L7-L8</f>
        <v/>
      </c>
    </row>
    <row r="10" ht="20" customHeight="1">
      <c r="A10" s="5" t="inlineStr">
        <is>
          <t>ค่าใช้จ่ายในการขายและบริหาร</t>
        </is>
      </c>
      <c r="B10" s="6" t="n">
        <v>150</v>
      </c>
      <c r="C10" s="6" t="n">
        <v>159</v>
      </c>
      <c r="D10" s="6" t="n">
        <v>168</v>
      </c>
      <c r="E10" s="6" t="n">
        <v>177</v>
      </c>
      <c r="F10" s="6" t="n">
        <v>186</v>
      </c>
      <c r="G10" s="6" t="n">
        <v>195</v>
      </c>
      <c r="H10" s="6" t="n">
        <v>204</v>
      </c>
      <c r="I10" s="6" t="n">
        <v>213</v>
      </c>
      <c r="J10" s="6" t="n">
        <v>222</v>
      </c>
      <c r="K10" s="6" t="n">
        <v>231</v>
      </c>
      <c r="L10" s="6" t="n">
        <v>240</v>
      </c>
    </row>
    <row r="11" ht="20" customHeight="1">
      <c r="A11" s="9" t="inlineStr">
        <is>
          <t>กำไรจากการดำเนินงาน (EBIT)</t>
        </is>
      </c>
      <c r="B11" s="11">
        <f>B9-B10</f>
        <v/>
      </c>
      <c r="C11" s="11">
        <f>C9-C10</f>
        <v/>
      </c>
      <c r="D11" s="11">
        <f>D9-D10</f>
        <v/>
      </c>
      <c r="E11" s="11">
        <f>E9-E10</f>
        <v/>
      </c>
      <c r="F11" s="11">
        <f>F9-F10</f>
        <v/>
      </c>
      <c r="G11" s="11">
        <f>G9-G10</f>
        <v/>
      </c>
      <c r="H11" s="11">
        <f>H9-H10</f>
        <v/>
      </c>
      <c r="I11" s="11">
        <f>I9-I10</f>
        <v/>
      </c>
      <c r="J11" s="11">
        <f>J9-J10</f>
        <v/>
      </c>
      <c r="K11" s="11">
        <f>K9-K10</f>
        <v/>
      </c>
      <c r="L11" s="11">
        <f>L9-L10</f>
        <v/>
      </c>
    </row>
    <row r="12" ht="20" customHeight="1">
      <c r="A12" s="5" t="inlineStr">
        <is>
          <t>ต้นทุนทางการเงิน (ดอกเบี้ยจ่าย)</t>
        </is>
      </c>
      <c r="B12" s="6" t="n">
        <v>25</v>
      </c>
      <c r="C12" s="6" t="n">
        <v>26.5</v>
      </c>
      <c r="D12" s="6" t="n">
        <v>28</v>
      </c>
      <c r="E12" s="6" t="n">
        <v>29.5</v>
      </c>
      <c r="F12" s="6" t="n">
        <v>31</v>
      </c>
      <c r="G12" s="6" t="n">
        <v>32.5</v>
      </c>
      <c r="H12" s="6" t="n">
        <v>34</v>
      </c>
      <c r="I12" s="6" t="n">
        <v>35.5</v>
      </c>
      <c r="J12" s="6" t="n">
        <v>37</v>
      </c>
      <c r="K12" s="6" t="n">
        <v>38.5</v>
      </c>
      <c r="L12" s="6" t="n">
        <v>40</v>
      </c>
    </row>
    <row r="13" ht="20" customHeight="1">
      <c r="A13" s="5" t="inlineStr">
        <is>
          <t>ภาษีเงินได้</t>
        </is>
      </c>
      <c r="B13" s="6" t="n">
        <v>35</v>
      </c>
      <c r="C13" s="6" t="n">
        <v>37.1</v>
      </c>
      <c r="D13" s="6" t="n">
        <v>39.2</v>
      </c>
      <c r="E13" s="6" t="n">
        <v>41.3</v>
      </c>
      <c r="F13" s="6" t="n">
        <v>43.4</v>
      </c>
      <c r="G13" s="6" t="n">
        <v>45.5</v>
      </c>
      <c r="H13" s="6" t="n">
        <v>47.6</v>
      </c>
      <c r="I13" s="6" t="n">
        <v>49.7</v>
      </c>
      <c r="J13" s="6" t="n">
        <v>51.8</v>
      </c>
      <c r="K13" s="6" t="n">
        <v>53.9</v>
      </c>
      <c r="L13" s="6" t="n">
        <v>56</v>
      </c>
    </row>
    <row r="14" ht="20" customHeight="1">
      <c r="A14" s="7" t="inlineStr">
        <is>
          <t>กำไรสุทธิสำหรับปี</t>
        </is>
      </c>
      <c r="B14" s="8">
        <f>B11-B12-B13</f>
        <v/>
      </c>
      <c r="C14" s="8">
        <f>C11-C12-C13</f>
        <v/>
      </c>
      <c r="D14" s="8">
        <f>D11-D12-D13</f>
        <v/>
      </c>
      <c r="E14" s="8">
        <f>E11-E12-E13</f>
        <v/>
      </c>
      <c r="F14" s="8">
        <f>F11-F12-F13</f>
        <v/>
      </c>
      <c r="G14" s="8">
        <f>G11-G12-G13</f>
        <v/>
      </c>
      <c r="H14" s="8">
        <f>H11-H12-H13</f>
        <v/>
      </c>
      <c r="I14" s="8">
        <f>I11-I12-I13</f>
        <v/>
      </c>
      <c r="J14" s="8">
        <f>J11-J12-J13</f>
        <v/>
      </c>
      <c r="K14" s="8">
        <f>K11-K12-K13</f>
        <v/>
      </c>
      <c r="L14" s="8">
        <f>L11-L12-L13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งบแสดงฐานะการเงิน (Consolidated Balance Sheet)</t>
        </is>
      </c>
    </row>
    <row r="2">
      <c r="A2" s="2" t="inlineStr">
        <is>
          <t>หน่วย: ล้านบาท (ปีสิ้นสุดวันที่ 31 ธันวาคม)</t>
        </is>
      </c>
    </row>
    <row r="3"/>
    <row r="4" ht="28" customHeight="1">
      <c r="A4" s="3" t="inlineStr">
        <is>
          <t>รายการ</t>
        </is>
      </c>
      <c r="B4" s="4" t="n">
        <v>2012</v>
      </c>
      <c r="C4" s="4" t="n">
        <v>2013</v>
      </c>
      <c r="D4" s="4" t="n">
        <v>2014</v>
      </c>
      <c r="E4" s="4" t="n">
        <v>2015</v>
      </c>
      <c r="F4" s="4" t="n">
        <v>2016</v>
      </c>
      <c r="G4" s="4" t="n">
        <v>2017</v>
      </c>
      <c r="H4" s="4" t="n">
        <v>2018</v>
      </c>
      <c r="I4" s="4" t="n">
        <v>2019</v>
      </c>
      <c r="J4" s="4" t="n">
        <v>2020</v>
      </c>
      <c r="K4" s="4" t="n">
        <v>2021</v>
      </c>
      <c r="L4" s="4" t="n">
        <v>2022</v>
      </c>
    </row>
    <row r="5" ht="20" customHeight="1">
      <c r="A5" s="9" t="inlineStr">
        <is>
          <t>สินทรัพย์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20" customHeight="1">
      <c r="A6" s="5" t="inlineStr">
        <is>
          <t>สินทรัพย์หมุนเวียน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20" customHeight="1">
      <c r="A7" s="5" t="inlineStr">
        <is>
          <t xml:space="preserve">  เงินสดและรายการเทียบเท่าเงินสด</t>
        </is>
      </c>
      <c r="B7" s="6" t="n">
        <v>150</v>
      </c>
      <c r="C7" s="6" t="n">
        <v>157.5</v>
      </c>
      <c r="D7" s="6" t="n">
        <v>165</v>
      </c>
      <c r="E7" s="6" t="n">
        <v>172.5</v>
      </c>
      <c r="F7" s="6" t="n">
        <v>180</v>
      </c>
      <c r="G7" s="6" t="n">
        <v>187.5</v>
      </c>
      <c r="H7" s="6" t="n">
        <v>195</v>
      </c>
      <c r="I7" s="6" t="n">
        <v>202.5</v>
      </c>
      <c r="J7" s="6" t="n">
        <v>210</v>
      </c>
      <c r="K7" s="6" t="n">
        <v>217.5</v>
      </c>
      <c r="L7" s="6" t="n">
        <v>225</v>
      </c>
    </row>
    <row r="8" ht="20" customHeight="1">
      <c r="A8" s="5" t="inlineStr">
        <is>
          <t xml:space="preserve">  ลูกหนี้การค้า</t>
        </is>
      </c>
      <c r="B8" s="6" t="n">
        <v>200</v>
      </c>
      <c r="C8" s="6" t="n">
        <v>210</v>
      </c>
      <c r="D8" s="6" t="n">
        <v>220</v>
      </c>
      <c r="E8" s="6" t="n">
        <v>230</v>
      </c>
      <c r="F8" s="6" t="n">
        <v>240</v>
      </c>
      <c r="G8" s="6" t="n">
        <v>250</v>
      </c>
      <c r="H8" s="6" t="n">
        <v>260</v>
      </c>
      <c r="I8" s="6" t="n">
        <v>270</v>
      </c>
      <c r="J8" s="6" t="n">
        <v>280</v>
      </c>
      <c r="K8" s="6" t="n">
        <v>290</v>
      </c>
      <c r="L8" s="6" t="n">
        <v>300</v>
      </c>
    </row>
    <row r="9" ht="20" customHeight="1">
      <c r="A9" s="5" t="inlineStr">
        <is>
          <t xml:space="preserve">  สินค้าคงเหลือ</t>
        </is>
      </c>
      <c r="B9" s="6" t="n">
        <v>250</v>
      </c>
      <c r="C9" s="6" t="n">
        <v>262.5</v>
      </c>
      <c r="D9" s="6" t="n">
        <v>275</v>
      </c>
      <c r="E9" s="6" t="n">
        <v>287.5</v>
      </c>
      <c r="F9" s="6" t="n">
        <v>300</v>
      </c>
      <c r="G9" s="6" t="n">
        <v>312.5</v>
      </c>
      <c r="H9" s="6" t="n">
        <v>325</v>
      </c>
      <c r="I9" s="6" t="n">
        <v>337.5</v>
      </c>
      <c r="J9" s="6" t="n">
        <v>350</v>
      </c>
      <c r="K9" s="6" t="n">
        <v>362.5</v>
      </c>
      <c r="L9" s="6" t="n">
        <v>375</v>
      </c>
    </row>
    <row r="10" ht="20" customHeight="1">
      <c r="A10" s="7" t="inlineStr">
        <is>
          <t>รวมสินทรัพย์หมุนเวียน</t>
        </is>
      </c>
      <c r="B10" s="12">
        <f>SUM(B7:B9)</f>
        <v/>
      </c>
      <c r="C10" s="12">
        <f>SUM(C7:C9)</f>
        <v/>
      </c>
      <c r="D10" s="12">
        <f>SUM(D7:D9)</f>
        <v/>
      </c>
      <c r="E10" s="12">
        <f>SUM(E7:E9)</f>
        <v/>
      </c>
      <c r="F10" s="12">
        <f>SUM(F7:F9)</f>
        <v/>
      </c>
      <c r="G10" s="12">
        <f>SUM(G7:G9)</f>
        <v/>
      </c>
      <c r="H10" s="12">
        <f>SUM(H7:H9)</f>
        <v/>
      </c>
      <c r="I10" s="12">
        <f>SUM(I7:I9)</f>
        <v/>
      </c>
      <c r="J10" s="12">
        <f>SUM(J7:J9)</f>
        <v/>
      </c>
      <c r="K10" s="12">
        <f>SUM(K7:K9)</f>
        <v/>
      </c>
      <c r="L10" s="12">
        <f>SUM(L7:L9)</f>
        <v/>
      </c>
    </row>
    <row r="11" ht="20" customHeight="1">
      <c r="A11" s="5" t="inlineStr">
        <is>
          <t>สินทรัพย์ไม่หมุนเวียน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 ht="20" customHeight="1">
      <c r="A12" s="5" t="inlineStr">
        <is>
          <t xml:space="preserve">  ที่ดิน อาคาร และอุปกรณ์</t>
        </is>
      </c>
      <c r="B12" s="6" t="n">
        <v>800</v>
      </c>
      <c r="C12" s="6" t="n">
        <v>840</v>
      </c>
      <c r="D12" s="6" t="n">
        <v>880</v>
      </c>
      <c r="E12" s="6" t="n">
        <v>920</v>
      </c>
      <c r="F12" s="6" t="n">
        <v>960</v>
      </c>
      <c r="G12" s="6" t="n">
        <v>1000</v>
      </c>
      <c r="H12" s="6" t="n">
        <v>1040</v>
      </c>
      <c r="I12" s="6" t="n">
        <v>1080</v>
      </c>
      <c r="J12" s="6" t="n">
        <v>1120</v>
      </c>
      <c r="K12" s="6" t="n">
        <v>1160</v>
      </c>
      <c r="L12" s="6" t="n">
        <v>1200</v>
      </c>
    </row>
    <row r="13" ht="20" customHeight="1">
      <c r="A13" s="5" t="inlineStr">
        <is>
          <t xml:space="preserve">  สินทรัพย์ไม่หมุนเวียนอื่น</t>
        </is>
      </c>
      <c r="B13" s="6" t="n">
        <v>100</v>
      </c>
      <c r="C13" s="6" t="n">
        <v>105</v>
      </c>
      <c r="D13" s="6" t="n">
        <v>110</v>
      </c>
      <c r="E13" s="6" t="n">
        <v>115</v>
      </c>
      <c r="F13" s="6" t="n">
        <v>120</v>
      </c>
      <c r="G13" s="6" t="n">
        <v>125</v>
      </c>
      <c r="H13" s="6" t="n">
        <v>130</v>
      </c>
      <c r="I13" s="6" t="n">
        <v>135</v>
      </c>
      <c r="J13" s="6" t="n">
        <v>140</v>
      </c>
      <c r="K13" s="6" t="n">
        <v>145</v>
      </c>
      <c r="L13" s="6" t="n">
        <v>150</v>
      </c>
    </row>
    <row r="14" ht="20" customHeight="1">
      <c r="A14" s="7" t="inlineStr">
        <is>
          <t>รวมสินทรัพย์ไม่หมุนเวียน</t>
        </is>
      </c>
      <c r="B14" s="12">
        <f>SUM(B12:B13)</f>
        <v/>
      </c>
      <c r="C14" s="12">
        <f>SUM(C12:C13)</f>
        <v/>
      </c>
      <c r="D14" s="12">
        <f>SUM(D12:D13)</f>
        <v/>
      </c>
      <c r="E14" s="12">
        <f>SUM(E12:E13)</f>
        <v/>
      </c>
      <c r="F14" s="12">
        <f>SUM(F12:F13)</f>
        <v/>
      </c>
      <c r="G14" s="12">
        <f>SUM(G12:G13)</f>
        <v/>
      </c>
      <c r="H14" s="12">
        <f>SUM(H12:H13)</f>
        <v/>
      </c>
      <c r="I14" s="12">
        <f>SUM(I12:I13)</f>
        <v/>
      </c>
      <c r="J14" s="12">
        <f>SUM(J12:J13)</f>
        <v/>
      </c>
      <c r="K14" s="12">
        <f>SUM(K12:K13)</f>
        <v/>
      </c>
      <c r="L14" s="12">
        <f>SUM(L12:L13)</f>
        <v/>
      </c>
    </row>
    <row r="15" ht="20" customHeight="1">
      <c r="A15" s="7" t="inlineStr">
        <is>
          <t>รวมสินทรัพย์</t>
        </is>
      </c>
      <c r="B15" s="8">
        <f>B10+B14</f>
        <v/>
      </c>
      <c r="C15" s="8">
        <f>C10+C14</f>
        <v/>
      </c>
      <c r="D15" s="8">
        <f>D10+D14</f>
        <v/>
      </c>
      <c r="E15" s="8">
        <f>E10+E14</f>
        <v/>
      </c>
      <c r="F15" s="8">
        <f>F10+F14</f>
        <v/>
      </c>
      <c r="G15" s="8">
        <f>G10+G14</f>
        <v/>
      </c>
      <c r="H15" s="8">
        <f>H10+H14</f>
        <v/>
      </c>
      <c r="I15" s="8">
        <f>I10+I14</f>
        <v/>
      </c>
      <c r="J15" s="8">
        <f>J10+J14</f>
        <v/>
      </c>
      <c r="K15" s="8">
        <f>K10+K14</f>
        <v/>
      </c>
      <c r="L15" s="8">
        <f>L10+L14</f>
        <v/>
      </c>
    </row>
    <row r="16"/>
    <row r="17" ht="20" customHeight="1">
      <c r="A17" s="9" t="inlineStr">
        <is>
          <t>หนี้สินและส่วนของผู้ถือหุ้น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20" customHeight="1">
      <c r="A18" s="5" t="inlineStr">
        <is>
          <t>หนี้สินหมุนเวียน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 ht="20" customHeight="1">
      <c r="A19" s="5" t="inlineStr">
        <is>
          <t xml:space="preserve">  เจ้าหนี้การค้า</t>
        </is>
      </c>
      <c r="B19" s="6" t="n">
        <v>180</v>
      </c>
      <c r="C19" s="6" t="n">
        <v>189</v>
      </c>
      <c r="D19" s="6" t="n">
        <v>198</v>
      </c>
      <c r="E19" s="6" t="n">
        <v>207</v>
      </c>
      <c r="F19" s="6" t="n">
        <v>216</v>
      </c>
      <c r="G19" s="6" t="n">
        <v>225</v>
      </c>
      <c r="H19" s="6" t="n">
        <v>234</v>
      </c>
      <c r="I19" s="6" t="n">
        <v>243</v>
      </c>
      <c r="J19" s="6" t="n">
        <v>252</v>
      </c>
      <c r="K19" s="6" t="n">
        <v>261</v>
      </c>
      <c r="L19" s="6" t="n">
        <v>270</v>
      </c>
    </row>
    <row r="20" ht="20" customHeight="1">
      <c r="A20" s="5" t="inlineStr">
        <is>
          <t xml:space="preserve">  เงินกู้ยืมระยะสั้น</t>
        </is>
      </c>
      <c r="B20" s="6" t="n">
        <v>100</v>
      </c>
      <c r="C20" s="6" t="n">
        <v>105</v>
      </c>
      <c r="D20" s="6" t="n">
        <v>110</v>
      </c>
      <c r="E20" s="6" t="n">
        <v>115</v>
      </c>
      <c r="F20" s="6" t="n">
        <v>120</v>
      </c>
      <c r="G20" s="6" t="n">
        <v>125</v>
      </c>
      <c r="H20" s="6" t="n">
        <v>130</v>
      </c>
      <c r="I20" s="6" t="n">
        <v>135</v>
      </c>
      <c r="J20" s="6" t="n">
        <v>140</v>
      </c>
      <c r="K20" s="6" t="n">
        <v>145</v>
      </c>
      <c r="L20" s="6" t="n">
        <v>150</v>
      </c>
    </row>
    <row r="21" ht="20" customHeight="1">
      <c r="A21" s="7" t="inlineStr">
        <is>
          <t>รวมหนี้สินหมุนเวียน</t>
        </is>
      </c>
      <c r="B21" s="12">
        <f>SUM(B19:B20)</f>
        <v/>
      </c>
      <c r="C21" s="12">
        <f>SUM(C19:C20)</f>
        <v/>
      </c>
      <c r="D21" s="12">
        <f>SUM(D19:D20)</f>
        <v/>
      </c>
      <c r="E21" s="12">
        <f>SUM(E19:E20)</f>
        <v/>
      </c>
      <c r="F21" s="12">
        <f>SUM(F19:F20)</f>
        <v/>
      </c>
      <c r="G21" s="12">
        <f>SUM(G19:G20)</f>
        <v/>
      </c>
      <c r="H21" s="12">
        <f>SUM(H19:H20)</f>
        <v/>
      </c>
      <c r="I21" s="12">
        <f>SUM(I19:I20)</f>
        <v/>
      </c>
      <c r="J21" s="12">
        <f>SUM(J19:J20)</f>
        <v/>
      </c>
      <c r="K21" s="12">
        <f>SUM(K19:K20)</f>
        <v/>
      </c>
      <c r="L21" s="12">
        <f>SUM(L19:L20)</f>
        <v/>
      </c>
    </row>
    <row r="22" ht="20" customHeight="1">
      <c r="A22" s="5" t="inlineStr">
        <is>
          <t>หนี้สินไม่หมุนเวียน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20" customHeight="1">
      <c r="A23" s="5" t="inlineStr">
        <is>
          <t xml:space="preserve">  เงินกู้ยืมระยะยาว</t>
        </is>
      </c>
      <c r="B23" s="6" t="n">
        <v>300</v>
      </c>
      <c r="C23" s="6" t="n">
        <v>315</v>
      </c>
      <c r="D23" s="6" t="n">
        <v>330</v>
      </c>
      <c r="E23" s="6" t="n">
        <v>345</v>
      </c>
      <c r="F23" s="6" t="n">
        <v>360</v>
      </c>
      <c r="G23" s="6" t="n">
        <v>375</v>
      </c>
      <c r="H23" s="6" t="n">
        <v>390</v>
      </c>
      <c r="I23" s="6" t="n">
        <v>405</v>
      </c>
      <c r="J23" s="6" t="n">
        <v>420</v>
      </c>
      <c r="K23" s="6" t="n">
        <v>435</v>
      </c>
      <c r="L23" s="6" t="n">
        <v>450</v>
      </c>
    </row>
    <row r="24" ht="20" customHeight="1">
      <c r="A24" s="7" t="inlineStr">
        <is>
          <t>รวมหนี้สินไม่หมุนเวียน</t>
        </is>
      </c>
      <c r="B24" s="12">
        <f>SUM(B23:B23)</f>
        <v/>
      </c>
      <c r="C24" s="12">
        <f>SUM(C23:C23)</f>
        <v/>
      </c>
      <c r="D24" s="12">
        <f>SUM(D23:D23)</f>
        <v/>
      </c>
      <c r="E24" s="12">
        <f>SUM(E23:E23)</f>
        <v/>
      </c>
      <c r="F24" s="12">
        <f>SUM(F23:F23)</f>
        <v/>
      </c>
      <c r="G24" s="12">
        <f>SUM(G23:G23)</f>
        <v/>
      </c>
      <c r="H24" s="12">
        <f>SUM(H23:H23)</f>
        <v/>
      </c>
      <c r="I24" s="12">
        <f>SUM(I23:I23)</f>
        <v/>
      </c>
      <c r="J24" s="12">
        <f>SUM(J23:J23)</f>
        <v/>
      </c>
      <c r="K24" s="12">
        <f>SUM(K23:K23)</f>
        <v/>
      </c>
      <c r="L24" s="12">
        <f>SUM(L23:L23)</f>
        <v/>
      </c>
    </row>
    <row r="25" ht="20" customHeight="1">
      <c r="A25" s="7" t="inlineStr">
        <is>
          <t>รวมหนี้สิน</t>
        </is>
      </c>
      <c r="B25" s="8">
        <f>B21+B24</f>
        <v/>
      </c>
      <c r="C25" s="8">
        <f>C21+C24</f>
        <v/>
      </c>
      <c r="D25" s="8">
        <f>D21+D24</f>
        <v/>
      </c>
      <c r="E25" s="8">
        <f>E21+E24</f>
        <v/>
      </c>
      <c r="F25" s="8">
        <f>F21+F24</f>
        <v/>
      </c>
      <c r="G25" s="8">
        <f>G21+G24</f>
        <v/>
      </c>
      <c r="H25" s="8">
        <f>H21+H24</f>
        <v/>
      </c>
      <c r="I25" s="8">
        <f>I21+I24</f>
        <v/>
      </c>
      <c r="J25" s="8">
        <f>J21+J24</f>
        <v/>
      </c>
      <c r="K25" s="8">
        <f>K21+K24</f>
        <v/>
      </c>
      <c r="L25" s="8">
        <f>L21+L24</f>
        <v/>
      </c>
    </row>
    <row r="26" ht="20" customHeight="1">
      <c r="A26" s="5" t="inlineStr">
        <is>
          <t>ส่วนของผู้ถือหุ้น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20" customHeight="1">
      <c r="A27" s="5" t="inlineStr">
        <is>
          <t xml:space="preserve">  ทุนเรือนหุ้นที่ออกและชำระแล้ว</t>
        </is>
      </c>
      <c r="B27" s="6" t="n">
        <v>500</v>
      </c>
      <c r="C27" s="6" t="n">
        <v>525</v>
      </c>
      <c r="D27" s="6" t="n">
        <v>550</v>
      </c>
      <c r="E27" s="6" t="n">
        <v>575</v>
      </c>
      <c r="F27" s="6" t="n">
        <v>600</v>
      </c>
      <c r="G27" s="6" t="n">
        <v>625</v>
      </c>
      <c r="H27" s="6" t="n">
        <v>650</v>
      </c>
      <c r="I27" s="6" t="n">
        <v>675</v>
      </c>
      <c r="J27" s="6" t="n">
        <v>700</v>
      </c>
      <c r="K27" s="6" t="n">
        <v>725</v>
      </c>
      <c r="L27" s="6" t="n">
        <v>750</v>
      </c>
    </row>
    <row r="28" ht="20" customHeight="1">
      <c r="A28" s="5" t="inlineStr">
        <is>
          <t xml:space="preserve">  กำไรสะสม</t>
        </is>
      </c>
      <c r="B28" s="6">
        <f>B15-B25-B27</f>
        <v/>
      </c>
      <c r="C28" s="6">
        <f>C15-C25-C27</f>
        <v/>
      </c>
      <c r="D28" s="6">
        <f>D15-D25-D27</f>
        <v/>
      </c>
      <c r="E28" s="6">
        <f>E15-E25-E27</f>
        <v/>
      </c>
      <c r="F28" s="6">
        <f>F15-F25-F27</f>
        <v/>
      </c>
      <c r="G28" s="6">
        <f>G15-G25-G27</f>
        <v/>
      </c>
      <c r="H28" s="6">
        <f>H15-H25-H27</f>
        <v/>
      </c>
      <c r="I28" s="6">
        <f>I15-I25-I27</f>
        <v/>
      </c>
      <c r="J28" s="6">
        <f>J15-J25-J27</f>
        <v/>
      </c>
      <c r="K28" s="6">
        <f>K15-K25-K27</f>
        <v/>
      </c>
      <c r="L28" s="6">
        <f>L15-L25-L27</f>
        <v/>
      </c>
    </row>
    <row r="29" ht="20" customHeight="1">
      <c r="A29" s="7" t="inlineStr">
        <is>
          <t>รวมส่วนของผู้ถือหุ้น</t>
        </is>
      </c>
      <c r="B29" s="12">
        <f>SUM(B27:B28)</f>
        <v/>
      </c>
      <c r="C29" s="12">
        <f>SUM(C27:C28)</f>
        <v/>
      </c>
      <c r="D29" s="12">
        <f>SUM(D27:D28)</f>
        <v/>
      </c>
      <c r="E29" s="12">
        <f>SUM(E27:E28)</f>
        <v/>
      </c>
      <c r="F29" s="12">
        <f>SUM(F27:F28)</f>
        <v/>
      </c>
      <c r="G29" s="12">
        <f>SUM(G27:G28)</f>
        <v/>
      </c>
      <c r="H29" s="12">
        <f>SUM(H27:H28)</f>
        <v/>
      </c>
      <c r="I29" s="12">
        <f>SUM(I27:I28)</f>
        <v/>
      </c>
      <c r="J29" s="12">
        <f>SUM(J27:J28)</f>
        <v/>
      </c>
      <c r="K29" s="12">
        <f>SUM(K27:K28)</f>
        <v/>
      </c>
      <c r="L29" s="12">
        <f>SUM(L27:L28)</f>
        <v/>
      </c>
    </row>
    <row r="30" ht="20" customHeight="1">
      <c r="A30" s="7" t="inlineStr">
        <is>
          <t>รวมหนี้สินและส่วนของผู้ถือหุ้น</t>
        </is>
      </c>
      <c r="B30" s="8">
        <f>B25+B29</f>
        <v/>
      </c>
      <c r="C30" s="8">
        <f>C25+C29</f>
        <v/>
      </c>
      <c r="D30" s="8">
        <f>D25+D29</f>
        <v/>
      </c>
      <c r="E30" s="8">
        <f>E25+E29</f>
        <v/>
      </c>
      <c r="F30" s="8">
        <f>F25+F29</f>
        <v/>
      </c>
      <c r="G30" s="8">
        <f>G25+G29</f>
        <v/>
      </c>
      <c r="H30" s="8">
        <f>H25+H29</f>
        <v/>
      </c>
      <c r="I30" s="8">
        <f>I25+I29</f>
        <v/>
      </c>
      <c r="J30" s="8">
        <f>J25+J29</f>
        <v/>
      </c>
      <c r="K30" s="8">
        <f>K25+K29</f>
        <v/>
      </c>
      <c r="L30" s="8">
        <f>L25+L29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งบกระแสเงินสด (Consolidated Statement of Cash Flows)</t>
        </is>
      </c>
    </row>
    <row r="2">
      <c r="A2" s="2" t="inlineStr">
        <is>
          <t>หน่วย: ล้านบาท (ปีสิ้นสุดวันที่ 31 ธันวาคม)</t>
        </is>
      </c>
    </row>
    <row r="3"/>
    <row r="4" ht="28" customHeight="1">
      <c r="A4" s="3" t="inlineStr">
        <is>
          <t>รายการ</t>
        </is>
      </c>
      <c r="B4" s="4" t="n">
        <v>2012</v>
      </c>
      <c r="C4" s="4" t="n">
        <v>2013</v>
      </c>
      <c r="D4" s="4" t="n">
        <v>2014</v>
      </c>
      <c r="E4" s="4" t="n">
        <v>2015</v>
      </c>
      <c r="F4" s="4" t="n">
        <v>2016</v>
      </c>
      <c r="G4" s="4" t="n">
        <v>2017</v>
      </c>
      <c r="H4" s="4" t="n">
        <v>2018</v>
      </c>
      <c r="I4" s="4" t="n">
        <v>2019</v>
      </c>
      <c r="J4" s="4" t="n">
        <v>2020</v>
      </c>
      <c r="K4" s="4" t="n">
        <v>2021</v>
      </c>
      <c r="L4" s="4" t="n">
        <v>2022</v>
      </c>
    </row>
    <row r="5" ht="20" customHeight="1">
      <c r="A5" s="9" t="inlineStr">
        <is>
          <t>กระแสเงินสดจากกิจกรรมดำเนินงาน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20" customHeight="1">
      <c r="A6" s="5" t="inlineStr">
        <is>
          <t xml:space="preserve">  กำไรสุทธิสำหรับปี</t>
        </is>
      </c>
      <c r="B6" s="6" t="n">
        <v>90</v>
      </c>
      <c r="C6" s="6" t="n">
        <v>93.59999999999999</v>
      </c>
      <c r="D6" s="6" t="n">
        <v>97.2</v>
      </c>
      <c r="E6" s="6" t="n">
        <v>100.8</v>
      </c>
      <c r="F6" s="6" t="n">
        <v>104.4</v>
      </c>
      <c r="G6" s="6" t="n">
        <v>108</v>
      </c>
      <c r="H6" s="6" t="n">
        <v>111.6</v>
      </c>
      <c r="I6" s="6" t="n">
        <v>115.2</v>
      </c>
      <c r="J6" s="6" t="n">
        <v>118.8</v>
      </c>
      <c r="K6" s="6" t="n">
        <v>122.4</v>
      </c>
      <c r="L6" s="6" t="n">
        <v>126</v>
      </c>
    </row>
    <row r="7" ht="20" customHeight="1">
      <c r="A7" s="5" t="inlineStr">
        <is>
          <t xml:space="preserve">  ค่าเสื่อมราคาและค่าตัดจำหน่าย</t>
        </is>
      </c>
      <c r="B7" s="6" t="n">
        <v>40</v>
      </c>
      <c r="C7" s="6" t="n">
        <v>41.6</v>
      </c>
      <c r="D7" s="6" t="n">
        <v>43.2</v>
      </c>
      <c r="E7" s="6" t="n">
        <v>44.8</v>
      </c>
      <c r="F7" s="6" t="n">
        <v>46.4</v>
      </c>
      <c r="G7" s="6" t="n">
        <v>48</v>
      </c>
      <c r="H7" s="6" t="n">
        <v>49.6</v>
      </c>
      <c r="I7" s="6" t="n">
        <v>51.2</v>
      </c>
      <c r="J7" s="6" t="n">
        <v>52.8</v>
      </c>
      <c r="K7" s="6" t="n">
        <v>54.4</v>
      </c>
      <c r="L7" s="6" t="n">
        <v>56</v>
      </c>
    </row>
    <row r="8" ht="20" customHeight="1">
      <c r="A8" s="5" t="inlineStr">
        <is>
          <t xml:space="preserve">  การเปลี่ยนแปลงในสินทรัพย์และหนี้สินดำเนินงาน</t>
        </is>
      </c>
      <c r="B8" s="6" t="n">
        <v>-15</v>
      </c>
      <c r="C8" s="6" t="n">
        <v>-15.6</v>
      </c>
      <c r="D8" s="6" t="n">
        <v>-16.2</v>
      </c>
      <c r="E8" s="6" t="n">
        <v>-16.8</v>
      </c>
      <c r="F8" s="6" t="n">
        <v>-17.4</v>
      </c>
      <c r="G8" s="6" t="n">
        <v>-18</v>
      </c>
      <c r="H8" s="6" t="n">
        <v>-18.6</v>
      </c>
      <c r="I8" s="6" t="n">
        <v>-19.2</v>
      </c>
      <c r="J8" s="6" t="n">
        <v>-19.8</v>
      </c>
      <c r="K8" s="6" t="n">
        <v>-20.4</v>
      </c>
      <c r="L8" s="6" t="n">
        <v>-21</v>
      </c>
    </row>
    <row r="9" ht="20" customHeight="1">
      <c r="A9" s="7" t="inlineStr">
        <is>
          <t>เงินสดสุทธิได้มาจากกิจกรรมดำเนินงาน</t>
        </is>
      </c>
      <c r="B9" s="12">
        <f>SUM(B6:B8)</f>
        <v/>
      </c>
      <c r="C9" s="12">
        <f>SUM(C6:C8)</f>
        <v/>
      </c>
      <c r="D9" s="12">
        <f>SUM(D6:D8)</f>
        <v/>
      </c>
      <c r="E9" s="12">
        <f>SUM(E6:E8)</f>
        <v/>
      </c>
      <c r="F9" s="12">
        <f>SUM(F6:F8)</f>
        <v/>
      </c>
      <c r="G9" s="12">
        <f>SUM(G6:G8)</f>
        <v/>
      </c>
      <c r="H9" s="12">
        <f>SUM(H6:H8)</f>
        <v/>
      </c>
      <c r="I9" s="12">
        <f>SUM(I6:I8)</f>
        <v/>
      </c>
      <c r="J9" s="12">
        <f>SUM(J6:J8)</f>
        <v/>
      </c>
      <c r="K9" s="12">
        <f>SUM(K6:K8)</f>
        <v/>
      </c>
      <c r="L9" s="12">
        <f>SUM(L6:L8)</f>
        <v/>
      </c>
    </row>
    <row r="10" ht="20" customHeight="1">
      <c r="A10" s="9" t="inlineStr">
        <is>
          <t>กระแสเงินสดจากกิจกรรมลงทุน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20" customHeight="1">
      <c r="A11" s="5" t="inlineStr">
        <is>
          <t xml:space="preserve">  เงินสดจ่ายเพื่อซื้อที่ดิน อาคาร และอุปกรณ์</t>
        </is>
      </c>
      <c r="B11" s="6" t="n">
        <v>-80</v>
      </c>
      <c r="C11" s="6" t="n">
        <v>-83.2</v>
      </c>
      <c r="D11" s="6" t="n">
        <v>-86.40000000000001</v>
      </c>
      <c r="E11" s="6" t="n">
        <v>-89.59999999999999</v>
      </c>
      <c r="F11" s="6" t="n">
        <v>-92.8</v>
      </c>
      <c r="G11" s="6" t="n">
        <v>-96</v>
      </c>
      <c r="H11" s="6" t="n">
        <v>-99.2</v>
      </c>
      <c r="I11" s="6" t="n">
        <v>-102.4</v>
      </c>
      <c r="J11" s="6" t="n">
        <v>-105.6</v>
      </c>
      <c r="K11" s="6" t="n">
        <v>-108.8</v>
      </c>
      <c r="L11" s="6" t="n">
        <v>-112</v>
      </c>
    </row>
    <row r="12" ht="20" customHeight="1">
      <c r="A12" s="7" t="inlineStr">
        <is>
          <t>เงินสดสุทธิใช้ไปในกิจกรรมลงทุน</t>
        </is>
      </c>
      <c r="B12" s="12">
        <f>SUM(B11:B11)</f>
        <v/>
      </c>
      <c r="C12" s="12">
        <f>SUM(C11:C11)</f>
        <v/>
      </c>
      <c r="D12" s="12">
        <f>SUM(D11:D11)</f>
        <v/>
      </c>
      <c r="E12" s="12">
        <f>SUM(E11:E11)</f>
        <v/>
      </c>
      <c r="F12" s="12">
        <f>SUM(F11:F11)</f>
        <v/>
      </c>
      <c r="G12" s="12">
        <f>SUM(G11:G11)</f>
        <v/>
      </c>
      <c r="H12" s="12">
        <f>SUM(H11:H11)</f>
        <v/>
      </c>
      <c r="I12" s="12">
        <f>SUM(I11:I11)</f>
        <v/>
      </c>
      <c r="J12" s="12">
        <f>SUM(J11:J11)</f>
        <v/>
      </c>
      <c r="K12" s="12">
        <f>SUM(K11:K11)</f>
        <v/>
      </c>
      <c r="L12" s="12">
        <f>SUM(L11:L11)</f>
        <v/>
      </c>
    </row>
    <row r="13" ht="20" customHeight="1">
      <c r="A13" s="9" t="inlineStr">
        <is>
          <t>กระแสเงินสดจากกิจกรรมจัดหาเงิน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20" customHeight="1">
      <c r="A14" s="5" t="inlineStr">
        <is>
          <t xml:space="preserve">  เงินสดรับจากการกู้ยืมระยะยาว</t>
        </is>
      </c>
      <c r="B14" s="6" t="n">
        <v>30</v>
      </c>
      <c r="C14" s="6" t="n">
        <v>31.2</v>
      </c>
      <c r="D14" s="6" t="n">
        <v>32.4</v>
      </c>
      <c r="E14" s="6" t="n">
        <v>33.6</v>
      </c>
      <c r="F14" s="6" t="n">
        <v>34.8</v>
      </c>
      <c r="G14" s="6" t="n">
        <v>36</v>
      </c>
      <c r="H14" s="6" t="n">
        <v>37.2</v>
      </c>
      <c r="I14" s="6" t="n">
        <v>38.4</v>
      </c>
      <c r="J14" s="6" t="n">
        <v>39.6</v>
      </c>
      <c r="K14" s="6" t="n">
        <v>40.8</v>
      </c>
      <c r="L14" s="6" t="n">
        <v>42</v>
      </c>
    </row>
    <row r="15" ht="20" customHeight="1">
      <c r="A15" s="5" t="inlineStr">
        <is>
          <t xml:space="preserve">  เงินสดจ่ายปันผล</t>
        </is>
      </c>
      <c r="B15" s="6" t="n">
        <v>-40</v>
      </c>
      <c r="C15" s="6" t="n">
        <v>-41.6</v>
      </c>
      <c r="D15" s="6" t="n">
        <v>-43.2</v>
      </c>
      <c r="E15" s="6" t="n">
        <v>-44.8</v>
      </c>
      <c r="F15" s="6" t="n">
        <v>-46.4</v>
      </c>
      <c r="G15" s="6" t="n">
        <v>-48</v>
      </c>
      <c r="H15" s="6" t="n">
        <v>-49.6</v>
      </c>
      <c r="I15" s="6" t="n">
        <v>-51.2</v>
      </c>
      <c r="J15" s="6" t="n">
        <v>-52.8</v>
      </c>
      <c r="K15" s="6" t="n">
        <v>-54.4</v>
      </c>
      <c r="L15" s="6" t="n">
        <v>-56</v>
      </c>
    </row>
    <row r="16" ht="20" customHeight="1">
      <c r="A16" s="7" t="inlineStr">
        <is>
          <t>เงินสดสุทธิได้มาจาก (ใช้ไปใน) กิจกรรมจัดหาเงิน</t>
        </is>
      </c>
      <c r="B16" s="12">
        <f>SUM(B15:B16)</f>
        <v/>
      </c>
      <c r="C16" s="12">
        <f>SUM(C15:C16)</f>
        <v/>
      </c>
      <c r="D16" s="12">
        <f>SUM(D15:D16)</f>
        <v/>
      </c>
      <c r="E16" s="12">
        <f>SUM(E15:E16)</f>
        <v/>
      </c>
      <c r="F16" s="12">
        <f>SUM(F15:F16)</f>
        <v/>
      </c>
      <c r="G16" s="12">
        <f>SUM(G15:G16)</f>
        <v/>
      </c>
      <c r="H16" s="12">
        <f>SUM(H15:H16)</f>
        <v/>
      </c>
      <c r="I16" s="12">
        <f>SUM(I15:I16)</f>
        <v/>
      </c>
      <c r="J16" s="12">
        <f>SUM(J15:J16)</f>
        <v/>
      </c>
      <c r="K16" s="12">
        <f>SUM(K15:K16)</f>
        <v/>
      </c>
      <c r="L16" s="12">
        <f>SUM(L15:L16)</f>
        <v/>
      </c>
    </row>
    <row r="17" ht="20" customHeight="1">
      <c r="A17" s="7" t="inlineStr">
        <is>
          <t>เงินสดและรายการเทียบเท่าเงินสดเพิ่มขึ้น (ลดลง) สุทธิ</t>
        </is>
      </c>
      <c r="B17" s="8">
        <f>B9+B12+B17</f>
        <v/>
      </c>
      <c r="C17" s="8">
        <f>C9+C12+C17</f>
        <v/>
      </c>
      <c r="D17" s="8">
        <f>D9+D12+D17</f>
        <v/>
      </c>
      <c r="E17" s="8">
        <f>E9+E12+E17</f>
        <v/>
      </c>
      <c r="F17" s="8">
        <f>F9+F12+F17</f>
        <v/>
      </c>
      <c r="G17" s="8">
        <f>G9+G12+G17</f>
        <v/>
      </c>
      <c r="H17" s="8">
        <f>H9+H12+H17</f>
        <v/>
      </c>
      <c r="I17" s="8">
        <f>I9+I12+I17</f>
        <v/>
      </c>
      <c r="J17" s="8">
        <f>J9+J12+J17</f>
        <v/>
      </c>
      <c r="K17" s="8">
        <f>K9+K12+K17</f>
        <v/>
      </c>
      <c r="L17" s="8">
        <f>L9+L12+L17</f>
        <v/>
      </c>
    </row>
    <row r="18" ht="20" customHeight="1">
      <c r="A18" s="5" t="inlineStr">
        <is>
          <t>เงินสดและรายการเทียบเท่าเงินสด ณ วันต้นปี</t>
        </is>
      </c>
      <c r="B18" s="6" t="n">
        <v>100</v>
      </c>
      <c r="C18" s="6">
        <f>B20</f>
        <v/>
      </c>
      <c r="D18" s="6">
        <f>C20</f>
        <v/>
      </c>
      <c r="E18" s="6">
        <f>D20</f>
        <v/>
      </c>
      <c r="F18" s="6">
        <f>E20</f>
        <v/>
      </c>
      <c r="G18" s="6">
        <f>F20</f>
        <v/>
      </c>
      <c r="H18" s="6">
        <f>G20</f>
        <v/>
      </c>
      <c r="I18" s="6">
        <f>H20</f>
        <v/>
      </c>
      <c r="J18" s="6">
        <f>I20</f>
        <v/>
      </c>
      <c r="K18" s="6">
        <f>J20</f>
        <v/>
      </c>
      <c r="L18" s="6">
        <f>K20</f>
        <v/>
      </c>
    </row>
    <row r="19" ht="20" customHeight="1">
      <c r="A19" s="7" t="inlineStr">
        <is>
          <t>เงินสดและรายการเทียบเท่าเงินสด ณ วันสิ้นปี</t>
        </is>
      </c>
      <c r="B19" s="8">
        <f>B18+B19</f>
        <v/>
      </c>
      <c r="C19" s="8">
        <f>C18+C19</f>
        <v/>
      </c>
      <c r="D19" s="8">
        <f>D18+D19</f>
        <v/>
      </c>
      <c r="E19" s="8">
        <f>E18+E19</f>
        <v/>
      </c>
      <c r="F19" s="8">
        <f>F18+F19</f>
        <v/>
      </c>
      <c r="G19" s="8">
        <f>G18+G19</f>
        <v/>
      </c>
      <c r="H19" s="8">
        <f>H18+H19</f>
        <v/>
      </c>
      <c r="I19" s="8">
        <f>I18+I19</f>
        <v/>
      </c>
      <c r="J19" s="8">
        <f>J18+J19</f>
        <v/>
      </c>
      <c r="K19" s="8">
        <f>K18+K19</f>
        <v/>
      </c>
      <c r="L19" s="8">
        <f>L18+L19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2026-06-23T21:55:43Z</dcterms:created>
  <dcterms:modified xmlns:dcterms="http://purl.org/dc/terms/" xmlns:xsi="http://www.w3.org/2001/XMLSchema-instance" xsi:type="dcterms:W3CDTF">2026-06-23T21:55:43Z</dcterms:modified>
</cp:coreProperties>
</file>